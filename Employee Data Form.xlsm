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F526139-EA53-4EB1-8A71-FD786641C27A}" xr6:coauthVersionLast="47" xr6:coauthVersionMax="47" xr10:uidLastSave="{00000000-0000-0000-0000-000000000000}"/>
  <bookViews>
    <workbookView xWindow="-108" yWindow="-108" windowWidth="23256" windowHeight="12456" xr2:uid="{8C3A8947-3E72-46A3-9517-7B1046E35B55}"/>
  </bookViews>
  <sheets>
    <sheet name="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" l="1"/>
  <c r="C21" i="1"/>
  <c r="F14" i="1"/>
  <c r="C32" i="1" s="1"/>
  <c r="C31" i="1"/>
  <c r="C30" i="1"/>
  <c r="C29" i="1"/>
  <c r="C28" i="1"/>
  <c r="C27" i="1"/>
  <c r="C26" i="1"/>
  <c r="C25" i="1"/>
  <c r="C24" i="1"/>
  <c r="C22" i="1"/>
</calcChain>
</file>

<file path=xl/sharedStrings.xml><?xml version="1.0" encoding="utf-8"?>
<sst xmlns="http://schemas.openxmlformats.org/spreadsheetml/2006/main" count="61" uniqueCount="32">
  <si>
    <t>Employee Data Form</t>
  </si>
  <si>
    <t>Employee Name</t>
  </si>
  <si>
    <t>Basic Salary</t>
  </si>
  <si>
    <t>Employee Code</t>
  </si>
  <si>
    <t>HRA</t>
  </si>
  <si>
    <t>Email ID</t>
  </si>
  <si>
    <t>Medical</t>
  </si>
  <si>
    <t>Date of Birth</t>
  </si>
  <si>
    <t>Conveyance</t>
  </si>
  <si>
    <t>Department</t>
  </si>
  <si>
    <t>Deductions</t>
  </si>
  <si>
    <t>Location</t>
  </si>
  <si>
    <t>Net Pay</t>
  </si>
  <si>
    <t>HR</t>
  </si>
  <si>
    <t>Office</t>
  </si>
  <si>
    <t>Ajay</t>
  </si>
  <si>
    <t>AJ1245</t>
  </si>
  <si>
    <t>Ajay@gmail.com</t>
  </si>
  <si>
    <t>Surya</t>
  </si>
  <si>
    <t>SU1798</t>
  </si>
  <si>
    <t>surya@gmail.com</t>
  </si>
  <si>
    <t>Admin</t>
  </si>
  <si>
    <t>Anu</t>
  </si>
  <si>
    <t>AN8769</t>
  </si>
  <si>
    <t>anu@gmail.com</t>
  </si>
  <si>
    <t>Technical</t>
  </si>
  <si>
    <t>Prakash</t>
  </si>
  <si>
    <t>PR2755</t>
  </si>
  <si>
    <t>prakash@gmail.com</t>
  </si>
  <si>
    <t>Accounting</t>
  </si>
  <si>
    <t>Praveen</t>
  </si>
  <si>
    <t>Praveen@gmail.com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</si>
</sst>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4" xfId="0" applyBorder="1"/>
    <xf numFmtId="0" fontId="0" fillId="0" borderId="5" xfId="0" applyBorder="1"/>
    <xf numFmtId="0" fontId="1" fillId="0" borderId="4" xfId="0" applyFont="1" applyBorder="1" applyAlignment="1">
      <alignment horizontal="right"/>
    </xf>
    <xf numFmtId="0" fontId="1" fillId="0" borderId="0" xfId="0" applyFont="1" applyAlignment="1">
      <alignment horizontal="right"/>
    </xf>
    <xf numFmtId="14" fontId="0" fillId="3" borderId="6" xfId="0" applyNumberFormat="1" applyFill="1" applyBorder="1" applyAlignment="1" applyProtection="1">
      <alignment horizontal="left"/>
      <protection locked="0"/>
    </xf>
    <xf numFmtId="0" fontId="0" fillId="0" borderId="0" xfId="0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4" fillId="4" borderId="0" xfId="0" applyFont="1" applyFill="1" applyAlignment="1">
      <alignment horizontal="center"/>
    </xf>
    <xf numFmtId="14" fontId="4" fillId="4" borderId="0" xfId="0" applyNumberFormat="1" applyFont="1" applyFill="1" applyAlignment="1">
      <alignment horizontal="center"/>
    </xf>
    <xf numFmtId="3" fontId="4" fillId="4" borderId="0" xfId="0" applyNumberFormat="1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 applyAlignment="1">
      <alignment horizontal="left"/>
    </xf>
    <xf numFmtId="0" fontId="0" fillId="3" borderId="0" xfId="0" applyFill="1" applyProtection="1">
      <protection locked="0"/>
    </xf>
    <xf numFmtId="3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0" fillId="3" borderId="6" xfId="0" applyFill="1" applyBorder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3" fillId="3" borderId="6" xfId="1" applyFill="1" applyBorder="1" applyAlignment="1" applyProtection="1">
      <alignment horizontal="left"/>
      <protection locked="0"/>
    </xf>
    <xf numFmtId="3" fontId="0" fillId="3" borderId="6" xfId="0" applyNumberFormat="1" applyFill="1" applyBorder="1" applyProtection="1">
      <protection locked="0"/>
    </xf>
    <xf numFmtId="0" fontId="3" fillId="3" borderId="0" xfId="1" applyFill="1"/>
    <xf numFmtId="3" fontId="0" fillId="3" borderId="6" xfId="0" applyNumberFormat="1" applyFill="1" applyBorder="1"/>
    <xf numFmtId="0" fontId="0" fillId="3" borderId="6" xfId="0" applyFill="1" applyBorder="1" applyProtection="1"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2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45720</xdr:rowOff>
        </xdr:from>
        <xdr:to>
          <xdr:col>2</xdr:col>
          <xdr:colOff>922020</xdr:colOff>
          <xdr:row>14</xdr:row>
          <xdr:rowOff>45720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655320</xdr:colOff>
          <xdr:row>13</xdr:row>
          <xdr:rowOff>45720</xdr:rowOff>
        </xdr:from>
        <xdr:to>
          <xdr:col>3</xdr:col>
          <xdr:colOff>144780</xdr:colOff>
          <xdr:row>14</xdr:row>
          <xdr:rowOff>45720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</xdr:colOff>
          <xdr:row>13</xdr:row>
          <xdr:rowOff>60960</xdr:rowOff>
        </xdr:from>
        <xdr:to>
          <xdr:col>4</xdr:col>
          <xdr:colOff>205740</xdr:colOff>
          <xdr:row>14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26C410-49A1-46F2-BB1B-40C88417D77F}" name="Table1" displayName="Table1" ref="B2:M7" totalsRowShown="0" headerRowDxfId="1">
  <autoFilter ref="B2:M7" xr:uid="{1926C410-49A1-46F2-BB1B-40C88417D77F}"/>
  <tableColumns count="12">
    <tableColumn id="1" xr3:uid="{AA22BF48-EFAE-49D5-A483-9BED9C7D8B6C}" name="Employee Name"/>
    <tableColumn id="2" xr3:uid="{2068FA6B-C98C-47F2-8229-0B310F69DA7F}" name="Employee Code" dataDxfId="0"/>
    <tableColumn id="3" xr3:uid="{F0E25FA6-1AC5-46B3-9CD9-F1A8378BCF28}" name="Email ID"/>
    <tableColumn id="4" xr3:uid="{3BE49243-58C0-4D12-B630-8DD1CC3D1A9C}" name="Date of Birth"/>
    <tableColumn id="5" xr3:uid="{45C97976-9378-486B-B9A6-E2EAA4B18014}" name="Department"/>
    <tableColumn id="6" xr3:uid="{B3FA2EBE-08DB-481A-9B39-588A7BEDF26F}" name="Location"/>
    <tableColumn id="7" xr3:uid="{963E23B5-5097-4333-831F-3ADB858FA451}" name="Basic Salary"/>
    <tableColumn id="8" xr3:uid="{0403DE36-DE0B-4B75-AF7B-E7C4B1F110D3}" name="HRA"/>
    <tableColumn id="9" xr3:uid="{D7EB3E34-7F75-407E-98EB-C39885A02CC4}" name="Medical"/>
    <tableColumn id="10" xr3:uid="{188C94BE-8C00-46C8-96DD-2A4779A66974}" name="Conveyance"/>
    <tableColumn id="11" xr3:uid="{A93114A2-DD14-4D33-BF5D-A8CE701C7A80}" name="Deductions"/>
    <tableColumn id="12" xr3:uid="{4DA9F3CA-4E5A-4AF6-B12F-04F2040D8F3F}" name="Net Pa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3BB4B-B603-4A9D-8C12-3D1BA69F988F}">
  <sheetPr codeName="Sheet1"/>
  <dimension ref="A1:AB36"/>
  <sheetViews>
    <sheetView showGridLines="0" tabSelected="1" workbookViewId="0">
      <selection activeCell="F19" sqref="F19"/>
    </sheetView>
  </sheetViews>
  <sheetFormatPr defaultRowHeight="14.4" x14ac:dyDescent="0.3"/>
  <cols>
    <col min="1" max="1" width="8.88671875" style="13"/>
    <col min="2" max="2" width="15.33203125" customWidth="1"/>
    <col min="3" max="3" width="18.88671875" customWidth="1"/>
    <col min="4" max="6" width="15.33203125" customWidth="1"/>
  </cols>
  <sheetData>
    <row r="1" spans="2:28" s="13" customFormat="1" x14ac:dyDescent="0.3"/>
    <row r="2" spans="2:28" ht="25.8" x14ac:dyDescent="0.5">
      <c r="B2" s="25" t="s">
        <v>0</v>
      </c>
      <c r="C2" s="26"/>
      <c r="D2" s="26"/>
      <c r="E2" s="26"/>
      <c r="F2" s="27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2:28" x14ac:dyDescent="0.3">
      <c r="B3" s="1"/>
      <c r="F3" s="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2:28" x14ac:dyDescent="0.3">
      <c r="B4" s="3" t="s">
        <v>1</v>
      </c>
      <c r="C4" s="18"/>
      <c r="E4" s="4" t="s">
        <v>2</v>
      </c>
      <c r="F4" s="21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</row>
    <row r="5" spans="2:28" x14ac:dyDescent="0.3">
      <c r="B5" s="3"/>
      <c r="C5" s="19"/>
      <c r="E5" s="4"/>
      <c r="F5" s="2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</row>
    <row r="6" spans="2:28" x14ac:dyDescent="0.3">
      <c r="B6" s="3" t="s">
        <v>3</v>
      </c>
      <c r="C6" s="24"/>
      <c r="E6" s="4" t="s">
        <v>4</v>
      </c>
      <c r="F6" s="21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2:28" x14ac:dyDescent="0.3">
      <c r="B7" s="3"/>
      <c r="C7" s="19"/>
      <c r="E7" s="4"/>
      <c r="F7" s="2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</row>
    <row r="8" spans="2:28" x14ac:dyDescent="0.3">
      <c r="B8" s="3" t="s">
        <v>5</v>
      </c>
      <c r="C8" s="20"/>
      <c r="E8" s="4" t="s">
        <v>6</v>
      </c>
      <c r="F8" s="21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2:28" x14ac:dyDescent="0.3">
      <c r="B9" s="3"/>
      <c r="C9" s="19"/>
      <c r="E9" s="4"/>
      <c r="F9" s="2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2:28" x14ac:dyDescent="0.3">
      <c r="B10" s="3" t="s">
        <v>7</v>
      </c>
      <c r="C10" s="5"/>
      <c r="E10" s="4" t="s">
        <v>8</v>
      </c>
      <c r="F10" s="21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2:28" x14ac:dyDescent="0.3">
      <c r="B11" s="3"/>
      <c r="C11" s="19"/>
      <c r="E11" s="4"/>
      <c r="F11" s="2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2:28" x14ac:dyDescent="0.3">
      <c r="B12" s="3" t="s">
        <v>9</v>
      </c>
      <c r="C12" s="18"/>
      <c r="E12" s="4" t="s">
        <v>10</v>
      </c>
      <c r="F12" s="21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2:28" x14ac:dyDescent="0.3">
      <c r="B13" s="3"/>
      <c r="C13" s="6"/>
      <c r="E13" s="4"/>
      <c r="F13" s="2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2:28" x14ac:dyDescent="0.3">
      <c r="B14" s="3" t="s">
        <v>11</v>
      </c>
      <c r="C14" s="6"/>
      <c r="E14" s="4" t="s">
        <v>12</v>
      </c>
      <c r="F14" s="23">
        <f>F4+F6+F8+F10-F12</f>
        <v>0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2:28" x14ac:dyDescent="0.3">
      <c r="B15" s="1"/>
      <c r="F15" s="2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2:28" x14ac:dyDescent="0.3">
      <c r="B16" s="7"/>
      <c r="C16" s="8"/>
      <c r="D16" s="8"/>
      <c r="E16" s="8"/>
      <c r="F16" s="9"/>
      <c r="G16" s="13"/>
      <c r="H16" s="13"/>
      <c r="I16" s="13"/>
      <c r="J16" s="13"/>
      <c r="K16" s="22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</row>
    <row r="17" spans="2:28" x14ac:dyDescent="0.3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</row>
    <row r="18" spans="2:28" x14ac:dyDescent="0.3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</row>
    <row r="19" spans="2:28" x14ac:dyDescent="0.3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</row>
    <row r="20" spans="2:28" x14ac:dyDescent="0.3"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</row>
    <row r="21" spans="2:28" x14ac:dyDescent="0.3">
      <c r="B21" s="13" t="s">
        <v>1</v>
      </c>
      <c r="C21" s="17">
        <f>C4</f>
        <v>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</row>
    <row r="22" spans="2:28" x14ac:dyDescent="0.3">
      <c r="B22" s="13" t="s">
        <v>3</v>
      </c>
      <c r="C22" s="17">
        <f>C6</f>
        <v>0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</row>
    <row r="23" spans="2:28" x14ac:dyDescent="0.3">
      <c r="B23" s="13" t="s">
        <v>5</v>
      </c>
      <c r="C23" s="17">
        <f>C8</f>
        <v>0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</row>
    <row r="24" spans="2:28" x14ac:dyDescent="0.3">
      <c r="B24" s="13" t="s">
        <v>7</v>
      </c>
      <c r="C24" s="14">
        <f>C10</f>
        <v>0</v>
      </c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</row>
    <row r="25" spans="2:28" x14ac:dyDescent="0.3">
      <c r="B25" s="13" t="s">
        <v>9</v>
      </c>
      <c r="C25" s="17">
        <f>C12</f>
        <v>0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</row>
    <row r="26" spans="2:28" x14ac:dyDescent="0.3">
      <c r="B26" s="13" t="s">
        <v>11</v>
      </c>
      <c r="C26" s="13" t="str">
        <f>IF(E26=1,"Site","Office")</f>
        <v>Office</v>
      </c>
      <c r="D26" s="15">
        <v>1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</row>
    <row r="27" spans="2:28" x14ac:dyDescent="0.3">
      <c r="B27" s="13" t="s">
        <v>2</v>
      </c>
      <c r="C27" s="16">
        <f>F4</f>
        <v>0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</row>
    <row r="28" spans="2:28" x14ac:dyDescent="0.3">
      <c r="B28" s="13" t="s">
        <v>4</v>
      </c>
      <c r="C28" s="16">
        <f>F6</f>
        <v>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</row>
    <row r="29" spans="2:28" x14ac:dyDescent="0.3">
      <c r="B29" s="13" t="s">
        <v>6</v>
      </c>
      <c r="C29" s="16">
        <f>F8</f>
        <v>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</row>
    <row r="30" spans="2:28" x14ac:dyDescent="0.3">
      <c r="B30" s="13" t="s">
        <v>8</v>
      </c>
      <c r="C30" s="16">
        <f>F10</f>
        <v>0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</row>
    <row r="31" spans="2:28" x14ac:dyDescent="0.3">
      <c r="B31" s="13" t="s">
        <v>10</v>
      </c>
      <c r="C31" s="16">
        <f>F12</f>
        <v>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</row>
    <row r="32" spans="2:28" x14ac:dyDescent="0.3">
      <c r="B32" s="13" t="s">
        <v>12</v>
      </c>
      <c r="C32" s="16">
        <f>F14</f>
        <v>0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</row>
    <row r="33" spans="2:28" x14ac:dyDescent="0.3"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</row>
    <row r="34" spans="2:28" x14ac:dyDescent="0.3"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</row>
    <row r="35" spans="2:28" x14ac:dyDescent="0.3"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</row>
    <row r="36" spans="2:28" x14ac:dyDescent="0.3"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</row>
  </sheetData>
  <mergeCells count="1">
    <mergeCell ref="B2:F2"/>
  </mergeCells>
  <dataValidations count="9">
    <dataValidation type="list" allowBlank="1" showInputMessage="1" showErrorMessage="1" sqref="C12" xr:uid="{38406711-310B-4F83-B304-1E25012D5DD8}">
      <formula1>"Technical, HR, Admin, Accounting"</formula1>
    </dataValidation>
    <dataValidation type="custom" allowBlank="1" showInputMessage="1" showErrorMessage="1" errorTitle="Must be text only (no numbers)" error="Please enter letters only. Numbers are not allowed." sqref="C4" xr:uid="{676934C4-4864-49B7-B5CA-BFAB4A0BB87E}">
      <formula1>AND(ISTEXT(C4),LEN(C4)&gt;1)</formula1>
    </dataValidation>
    <dataValidation type="date" allowBlank="1" showInputMessage="1" showErrorMessage="1" errorTitle="Must be a valid past date." error="Please enter a valid date between 01-Jan-1990 and 31-Jan-2005" sqref="C10" xr:uid="{E49CCEC8-E165-4321-ABF1-77B9A4823EB1}">
      <formula1>32874</formula1>
      <formula2>38383</formula2>
    </dataValidation>
    <dataValidation type="custom" allowBlank="1" showInputMessage="1" showErrorMessage="1" errorTitle="Invalid Email" error="Please enter in the format name@example.com" sqref="C8" xr:uid="{4EB51A0C-7B41-4107-B24F-6C9B5930A3BA}">
      <formula1>AND(ISNUMBER(SEARCH("@",C8)),ISNUMBER(SEARCH(".",C8)))</formula1>
    </dataValidation>
    <dataValidation type="custom" allowBlank="1" showInputMessage="1" showErrorMessage="1" errorTitle="Must be numeric" error="Salary must be a number greater than zero." sqref="F4" xr:uid="{B5D86599-ACCB-49F3-8287-4DEE7C252201}">
      <formula1>AND(ISNUMBER(F8),F8&gt;0)</formula1>
    </dataValidation>
    <dataValidation type="custom" allowBlank="1" showInputMessage="1" showErrorMessage="1" errorTitle="Must be numeric" error="HRA must be between 0 and 50% of Basic Salary." sqref="F6" xr:uid="{5A4F93D4-BDE2-4CB8-BD8B-81D0262FCED8}">
      <formula1>ISNUMBER(F6)</formula1>
    </dataValidation>
    <dataValidation type="custom" allowBlank="1" showInputMessage="1" showErrorMessage="1" errorTitle="Must be numeric" error="Medical allowance must be 0 to 2000." sqref="F8" xr:uid="{26F9D8AC-BAC2-43F1-BF96-79B56C7BFF5B}">
      <formula1>AND(ISNUMBER(F8),F8&gt;=0,F8&lt;=2000)</formula1>
    </dataValidation>
    <dataValidation type="custom" allowBlank="1" showInputMessage="1" showErrorMessage="1" errorTitle="Must be numeric" error="Conveyance must be between 0 and 1000." sqref="F10" xr:uid="{EAEB8612-B261-4CAD-9D63-880C5D9194B8}">
      <formula1>AND(ISNUMBER(F10),F10&gt;=0,F10&lt;=1000)</formula1>
    </dataValidation>
    <dataValidation type="custom" allowBlank="1" showInputMessage="1" showErrorMessage="1" errorTitle="Must be numeric" error="Deductions cannot exceed Gross Pay." sqref="F12" xr:uid="{B81E3CD0-623E-449B-A03A-849D5760C9AC}">
      <formula1>AND(ISNUMBER(F12),F12&gt;=0,F12&lt;=C18)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2</xdr:col>
                    <xdr:colOff>137160</xdr:colOff>
                    <xdr:row>13</xdr:row>
                    <xdr:rowOff>45720</xdr:rowOff>
                  </from>
                  <to>
                    <xdr:col>2</xdr:col>
                    <xdr:colOff>922020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655320</xdr:colOff>
                    <xdr:row>13</xdr:row>
                    <xdr:rowOff>45720</xdr:rowOff>
                  </from>
                  <to>
                    <xdr:col>3</xdr:col>
                    <xdr:colOff>144780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ddDataToDatabase">
                <anchor moveWithCells="1" sizeWithCells="1">
                  <from>
                    <xdr:col>3</xdr:col>
                    <xdr:colOff>396240</xdr:colOff>
                    <xdr:row>13</xdr:row>
                    <xdr:rowOff>60960</xdr:rowOff>
                  </from>
                  <to>
                    <xdr:col>4</xdr:col>
                    <xdr:colOff>205740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37FC6-F1EB-4103-BB6F-3884598D7394}">
  <sheetPr codeName="Sheet2"/>
  <dimension ref="B2:M30"/>
  <sheetViews>
    <sheetView workbookViewId="0">
      <selection activeCell="E20" sqref="E20"/>
    </sheetView>
  </sheetViews>
  <sheetFormatPr defaultRowHeight="14.4" x14ac:dyDescent="0.3"/>
  <cols>
    <col min="1" max="1" width="7" customWidth="1"/>
    <col min="2" max="2" width="20.33203125" customWidth="1"/>
    <col min="3" max="3" width="19.33203125" customWidth="1"/>
    <col min="4" max="6" width="18.109375" customWidth="1"/>
    <col min="7" max="7" width="13.6640625" customWidth="1"/>
    <col min="8" max="8" width="18.109375" customWidth="1"/>
    <col min="9" max="9" width="10.77734375" customWidth="1"/>
    <col min="10" max="10" width="14.88671875" customWidth="1"/>
    <col min="11" max="11" width="16.33203125" customWidth="1"/>
    <col min="12" max="12" width="16.5546875" customWidth="1"/>
    <col min="13" max="13" width="13.6640625" customWidth="1"/>
  </cols>
  <sheetData>
    <row r="2" spans="2:13" ht="18" x14ac:dyDescent="0.35">
      <c r="B2" s="10" t="s">
        <v>1</v>
      </c>
      <c r="C2" s="10" t="s">
        <v>3</v>
      </c>
      <c r="D2" s="10" t="s">
        <v>5</v>
      </c>
      <c r="E2" s="11" t="s">
        <v>7</v>
      </c>
      <c r="F2" s="10" t="s">
        <v>9</v>
      </c>
      <c r="G2" s="10" t="s">
        <v>11</v>
      </c>
      <c r="H2" s="12" t="s">
        <v>2</v>
      </c>
      <c r="I2" s="12" t="s">
        <v>4</v>
      </c>
      <c r="J2" s="12" t="s">
        <v>6</v>
      </c>
      <c r="K2" s="12" t="s">
        <v>8</v>
      </c>
      <c r="L2" s="12" t="s">
        <v>10</v>
      </c>
      <c r="M2" s="12" t="s">
        <v>12</v>
      </c>
    </row>
    <row r="3" spans="2:13" x14ac:dyDescent="0.3">
      <c r="B3" t="s">
        <v>15</v>
      </c>
      <c r="C3" s="19" t="s">
        <v>16</v>
      </c>
      <c r="D3" t="s">
        <v>17</v>
      </c>
      <c r="E3">
        <v>36859</v>
      </c>
      <c r="F3" t="s">
        <v>13</v>
      </c>
      <c r="G3" t="s">
        <v>14</v>
      </c>
      <c r="H3">
        <v>50000</v>
      </c>
      <c r="I3">
        <v>6000</v>
      </c>
      <c r="J3">
        <v>3000</v>
      </c>
      <c r="K3">
        <v>2000</v>
      </c>
      <c r="L3">
        <v>1200</v>
      </c>
      <c r="M3">
        <v>59800</v>
      </c>
    </row>
    <row r="4" spans="2:13" x14ac:dyDescent="0.3">
      <c r="B4" t="s">
        <v>18</v>
      </c>
      <c r="C4" s="19" t="s">
        <v>19</v>
      </c>
      <c r="D4" t="s">
        <v>20</v>
      </c>
      <c r="E4">
        <v>37487</v>
      </c>
      <c r="F4" t="s">
        <v>21</v>
      </c>
      <c r="G4" t="s">
        <v>14</v>
      </c>
      <c r="H4">
        <v>60000</v>
      </c>
      <c r="I4">
        <v>10000</v>
      </c>
      <c r="J4">
        <v>6000</v>
      </c>
      <c r="K4">
        <v>4000</v>
      </c>
      <c r="L4">
        <v>2000</v>
      </c>
      <c r="M4">
        <v>78000</v>
      </c>
    </row>
    <row r="5" spans="2:13" x14ac:dyDescent="0.3">
      <c r="B5" t="s">
        <v>22</v>
      </c>
      <c r="C5" s="19" t="s">
        <v>23</v>
      </c>
      <c r="D5" t="s">
        <v>24</v>
      </c>
      <c r="E5">
        <v>34594</v>
      </c>
      <c r="F5" t="s">
        <v>25</v>
      </c>
      <c r="G5" t="s">
        <v>14</v>
      </c>
      <c r="H5">
        <v>70000</v>
      </c>
      <c r="I5">
        <v>12000</v>
      </c>
      <c r="J5">
        <v>8000</v>
      </c>
      <c r="K5">
        <v>5000</v>
      </c>
      <c r="L5">
        <v>3000</v>
      </c>
      <c r="M5">
        <v>92000</v>
      </c>
    </row>
    <row r="6" spans="2:13" x14ac:dyDescent="0.3">
      <c r="B6" t="s">
        <v>26</v>
      </c>
      <c r="C6" s="19" t="s">
        <v>27</v>
      </c>
      <c r="D6" t="s">
        <v>28</v>
      </c>
      <c r="E6">
        <v>36367</v>
      </c>
      <c r="F6" t="s">
        <v>29</v>
      </c>
      <c r="G6" t="s">
        <v>14</v>
      </c>
      <c r="H6">
        <v>50000</v>
      </c>
      <c r="I6">
        <v>12000</v>
      </c>
      <c r="J6">
        <v>6000</v>
      </c>
      <c r="K6">
        <v>2000</v>
      </c>
      <c r="L6">
        <v>1500</v>
      </c>
      <c r="M6">
        <v>68500</v>
      </c>
    </row>
    <row r="7" spans="2:13" x14ac:dyDescent="0.3">
      <c r="B7" t="s">
        <v>30</v>
      </c>
      <c r="C7" s="19">
        <v>1234</v>
      </c>
      <c r="D7" t="s">
        <v>31</v>
      </c>
      <c r="E7">
        <v>33135</v>
      </c>
      <c r="F7" t="s">
        <v>29</v>
      </c>
      <c r="G7" t="s">
        <v>14</v>
      </c>
      <c r="H7">
        <v>40000</v>
      </c>
      <c r="I7">
        <v>8000</v>
      </c>
      <c r="J7">
        <v>2000</v>
      </c>
      <c r="K7">
        <v>1000</v>
      </c>
      <c r="L7">
        <v>500</v>
      </c>
      <c r="M7">
        <v>50500</v>
      </c>
    </row>
    <row r="8" spans="2:13" x14ac:dyDescent="0.3">
      <c r="C8" s="19"/>
    </row>
    <row r="9" spans="2:13" x14ac:dyDescent="0.3">
      <c r="C9" s="19"/>
    </row>
    <row r="10" spans="2:13" x14ac:dyDescent="0.3">
      <c r="C10" s="19"/>
    </row>
    <row r="11" spans="2:13" x14ac:dyDescent="0.3">
      <c r="C11" s="19"/>
    </row>
    <row r="12" spans="2:13" x14ac:dyDescent="0.3">
      <c r="C12" s="19"/>
    </row>
    <row r="13" spans="2:13" x14ac:dyDescent="0.3">
      <c r="C13" s="19"/>
    </row>
    <row r="14" spans="2:13" x14ac:dyDescent="0.3">
      <c r="C14" s="19"/>
    </row>
    <row r="15" spans="2:13" x14ac:dyDescent="0.3">
      <c r="C15" s="19"/>
    </row>
    <row r="16" spans="2:13" x14ac:dyDescent="0.3">
      <c r="C16" s="19"/>
    </row>
    <row r="17" spans="3:3" x14ac:dyDescent="0.3">
      <c r="C17" s="19"/>
    </row>
    <row r="18" spans="3:3" x14ac:dyDescent="0.3">
      <c r="C18" s="19"/>
    </row>
    <row r="19" spans="3:3" x14ac:dyDescent="0.3">
      <c r="C19" s="19"/>
    </row>
    <row r="20" spans="3:3" x14ac:dyDescent="0.3">
      <c r="C20" s="19"/>
    </row>
    <row r="21" spans="3:3" x14ac:dyDescent="0.3">
      <c r="C21" s="19"/>
    </row>
    <row r="22" spans="3:3" x14ac:dyDescent="0.3">
      <c r="C22" s="19"/>
    </row>
    <row r="23" spans="3:3" x14ac:dyDescent="0.3">
      <c r="C23" s="19"/>
    </row>
    <row r="24" spans="3:3" x14ac:dyDescent="0.3">
      <c r="C24" s="19"/>
    </row>
    <row r="25" spans="3:3" x14ac:dyDescent="0.3">
      <c r="C25" s="19"/>
    </row>
    <row r="26" spans="3:3" x14ac:dyDescent="0.3">
      <c r="C26" s="19"/>
    </row>
    <row r="27" spans="3:3" x14ac:dyDescent="0.3">
      <c r="C27" s="19"/>
    </row>
    <row r="28" spans="3:3" x14ac:dyDescent="0.3">
      <c r="C28" s="19"/>
    </row>
    <row r="29" spans="3:3" x14ac:dyDescent="0.3">
      <c r="C29" s="19"/>
    </row>
    <row r="30" spans="3:3" x14ac:dyDescent="0.3">
      <c r="C30" s="1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Anjali S</dc:creator>
  <cp:lastModifiedBy>Anjali S</cp:lastModifiedBy>
  <dcterms:created xsi:type="dcterms:W3CDTF">2025-09-29T08:14:38Z</dcterms:created>
  <dcterms:modified xsi:type="dcterms:W3CDTF">2025-09-29T18:47:33Z</dcterms:modified>
</cp:coreProperties>
</file>